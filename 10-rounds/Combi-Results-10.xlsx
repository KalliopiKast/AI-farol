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extended AI el-farol\10-rounds\"/>
    </mc:Choice>
  </mc:AlternateContent>
  <xr:revisionPtr revIDLastSave="0" documentId="13_ncr:1_{DD94BDA2-00CC-41AD-930D-0BDEA1008B72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H16" i="1"/>
  <c r="I16" i="1"/>
  <c r="L16" i="1"/>
  <c r="M16" i="1"/>
  <c r="P16" i="1"/>
  <c r="Q16" i="1"/>
  <c r="E17" i="1"/>
  <c r="H17" i="1"/>
  <c r="I17" i="1"/>
  <c r="L17" i="1"/>
  <c r="M17" i="1"/>
  <c r="P17" i="1"/>
  <c r="Q17" i="1"/>
  <c r="D17" i="1"/>
  <c r="D16" i="1"/>
  <c r="E18" i="1"/>
  <c r="H18" i="1"/>
  <c r="I18" i="1"/>
  <c r="L18" i="1"/>
  <c r="M18" i="1"/>
  <c r="P18" i="1"/>
  <c r="Q18" i="1"/>
  <c r="D18" i="1"/>
  <c r="E14" i="1"/>
  <c r="H14" i="1"/>
  <c r="I14" i="1"/>
  <c r="L14" i="1"/>
  <c r="M14" i="1"/>
  <c r="P14" i="1"/>
  <c r="Q14" i="1"/>
  <c r="D14" i="1"/>
  <c r="D15" i="1"/>
  <c r="E15" i="1"/>
  <c r="H15" i="1"/>
  <c r="I15" i="1"/>
  <c r="L15" i="1"/>
  <c r="M15" i="1"/>
  <c r="P15" i="1"/>
  <c r="Q15" i="1"/>
</calcChain>
</file>

<file path=xl/sharedStrings.xml><?xml version="1.0" encoding="utf-8"?>
<sst xmlns="http://schemas.openxmlformats.org/spreadsheetml/2006/main" count="31" uniqueCount="22">
  <si>
    <t>attendance</t>
  </si>
  <si>
    <t>satisfaction</t>
  </si>
  <si>
    <t>income</t>
  </si>
  <si>
    <t>round 1</t>
  </si>
  <si>
    <t>round 2</t>
  </si>
  <si>
    <t>round 3</t>
  </si>
  <si>
    <t>round 4</t>
  </si>
  <si>
    <t>round 5</t>
  </si>
  <si>
    <t>round 6</t>
  </si>
  <si>
    <t>round 7</t>
  </si>
  <si>
    <t>round 8</t>
  </si>
  <si>
    <t>round 9</t>
  </si>
  <si>
    <t>round 10</t>
  </si>
  <si>
    <t>baseline</t>
  </si>
  <si>
    <t>linear-regression</t>
  </si>
  <si>
    <t>clustering</t>
  </si>
  <si>
    <t>q-learning</t>
  </si>
  <si>
    <t>sum</t>
  </si>
  <si>
    <t>avg</t>
  </si>
  <si>
    <t>std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</si>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</sst>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165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165" fontId="0" fillId="3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/>
    </xf>
    <xf numFmtId="165" fontId="0" fillId="0" borderId="0" xfId="0" applyNumberFormat="1" applyFill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165" fontId="0" fillId="6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"/>
  <sheetViews>
    <sheetView tabSelected="1" workbookViewId="0">
      <selection activeCell="F20" sqref="F20"/>
    </sheetView>
  </sheetViews>
  <sheetFormatPr defaultRowHeight="15" x14ac:dyDescent="0.25"/>
  <cols>
    <col min="1" max="1" width="9.140625" style="6"/>
    <col min="3" max="5" width="11.85546875" customWidth="1"/>
    <col min="6" max="6" width="4.7109375" customWidth="1"/>
    <col min="7" max="9" width="11.85546875" customWidth="1"/>
    <col min="10" max="10" width="3.7109375" customWidth="1"/>
    <col min="11" max="13" width="11.85546875" customWidth="1"/>
    <col min="14" max="14" width="3.42578125" customWidth="1"/>
    <col min="15" max="17" width="11.85546875" customWidth="1"/>
  </cols>
  <sheetData>
    <row r="1" spans="1:18" s="3" customFormat="1" x14ac:dyDescent="0.25">
      <c r="A1" s="6"/>
      <c r="C1" s="4" t="s">
        <v>13</v>
      </c>
      <c r="D1" s="4"/>
      <c r="E1" s="4"/>
      <c r="F1" s="5"/>
      <c r="G1" s="4" t="s">
        <v>14</v>
      </c>
      <c r="H1" s="4"/>
      <c r="I1" s="4"/>
      <c r="J1" s="5"/>
      <c r="K1" s="4" t="s">
        <v>15</v>
      </c>
      <c r="L1" s="4"/>
      <c r="M1" s="4"/>
      <c r="N1" s="5"/>
      <c r="O1" s="4" t="s">
        <v>16</v>
      </c>
      <c r="P1" s="4"/>
      <c r="Q1" s="4"/>
      <c r="R1" s="5"/>
    </row>
    <row r="2" spans="1:18" s="3" customFormat="1" x14ac:dyDescent="0.25">
      <c r="A2" s="6"/>
      <c r="C2" s="5" t="s">
        <v>0</v>
      </c>
      <c r="D2" s="5" t="s">
        <v>1</v>
      </c>
      <c r="E2" s="5" t="s">
        <v>2</v>
      </c>
      <c r="F2" s="5"/>
      <c r="G2" s="5" t="s">
        <v>0</v>
      </c>
      <c r="H2" s="5" t="s">
        <v>1</v>
      </c>
      <c r="I2" s="5" t="s">
        <v>2</v>
      </c>
      <c r="J2" s="5"/>
      <c r="K2" s="5" t="s">
        <v>0</v>
      </c>
      <c r="L2" s="5" t="s">
        <v>1</v>
      </c>
      <c r="M2" s="5" t="s">
        <v>2</v>
      </c>
      <c r="N2" s="5"/>
      <c r="O2" s="5" t="s">
        <v>0</v>
      </c>
      <c r="P2" s="5" t="s">
        <v>1</v>
      </c>
      <c r="Q2" s="5" t="s">
        <v>2</v>
      </c>
      <c r="R2" s="5"/>
    </row>
    <row r="3" spans="1:18" x14ac:dyDescent="0.25">
      <c r="A3" s="6" t="s">
        <v>3</v>
      </c>
      <c r="C3" s="7">
        <v>7</v>
      </c>
      <c r="D3" s="7">
        <v>0</v>
      </c>
      <c r="E3" s="7">
        <v>70</v>
      </c>
      <c r="F3" s="7"/>
      <c r="G3" s="7">
        <v>2</v>
      </c>
      <c r="H3" s="7">
        <v>6.6666666666666596E-2</v>
      </c>
      <c r="I3" s="7">
        <v>10</v>
      </c>
      <c r="J3" s="7"/>
      <c r="K3" s="7">
        <v>0</v>
      </c>
      <c r="L3" s="7">
        <v>0</v>
      </c>
      <c r="M3" s="7">
        <v>0</v>
      </c>
      <c r="N3" s="7"/>
      <c r="O3" s="7">
        <v>1</v>
      </c>
      <c r="P3" s="7">
        <v>1.6666666666666601E-2</v>
      </c>
      <c r="Q3" s="7">
        <v>5</v>
      </c>
      <c r="R3" s="2"/>
    </row>
    <row r="4" spans="1:18" x14ac:dyDescent="0.25">
      <c r="A4" s="6" t="s">
        <v>4</v>
      </c>
      <c r="C4" s="7">
        <v>4</v>
      </c>
      <c r="D4" s="7">
        <v>0.4</v>
      </c>
      <c r="E4" s="7">
        <v>40</v>
      </c>
      <c r="F4" s="7"/>
      <c r="G4" s="7">
        <v>5</v>
      </c>
      <c r="H4" s="7">
        <v>0.41666666666666602</v>
      </c>
      <c r="I4" s="7">
        <v>24.25</v>
      </c>
      <c r="J4" s="7"/>
      <c r="K4" s="7">
        <v>0</v>
      </c>
      <c r="L4" s="7">
        <v>0</v>
      </c>
      <c r="M4" s="7">
        <v>0</v>
      </c>
      <c r="N4" s="7"/>
      <c r="O4" s="7">
        <v>9</v>
      </c>
      <c r="P4" s="7">
        <v>0.45</v>
      </c>
      <c r="Q4" s="7">
        <v>27</v>
      </c>
      <c r="R4" s="2"/>
    </row>
    <row r="5" spans="1:18" x14ac:dyDescent="0.25">
      <c r="A5" s="6" t="s">
        <v>5</v>
      </c>
      <c r="C5" s="7">
        <v>7</v>
      </c>
      <c r="D5" s="7">
        <v>0</v>
      </c>
      <c r="E5" s="7">
        <v>70</v>
      </c>
      <c r="F5" s="7"/>
      <c r="G5" s="7">
        <v>10</v>
      </c>
      <c r="H5" s="7">
        <v>0.33333333333333298</v>
      </c>
      <c r="I5" s="7">
        <v>45.5</v>
      </c>
      <c r="J5" s="7"/>
      <c r="K5" s="7">
        <v>9</v>
      </c>
      <c r="L5" s="7">
        <v>0.45</v>
      </c>
      <c r="M5" s="7">
        <v>42.3</v>
      </c>
      <c r="N5" s="7"/>
      <c r="O5" s="7">
        <v>0</v>
      </c>
      <c r="P5" s="7">
        <v>0</v>
      </c>
      <c r="Q5" s="7">
        <v>0</v>
      </c>
      <c r="R5" s="2"/>
    </row>
    <row r="6" spans="1:18" x14ac:dyDescent="0.25">
      <c r="A6" s="6" t="s">
        <v>6</v>
      </c>
      <c r="C6" s="7">
        <v>4</v>
      </c>
      <c r="D6" s="7">
        <v>0.4</v>
      </c>
      <c r="E6" s="7">
        <v>40</v>
      </c>
      <c r="F6" s="7"/>
      <c r="G6" s="7">
        <v>1</v>
      </c>
      <c r="H6" s="7">
        <v>1.6666666666666601E-2</v>
      </c>
      <c r="I6" s="7">
        <v>4.5</v>
      </c>
      <c r="J6" s="7"/>
      <c r="K6" s="7">
        <v>2</v>
      </c>
      <c r="L6" s="7">
        <v>6.6666666666666596E-2</v>
      </c>
      <c r="M6" s="7">
        <v>9.3000000000000007</v>
      </c>
      <c r="N6" s="7"/>
      <c r="O6" s="7">
        <v>10</v>
      </c>
      <c r="P6" s="7">
        <v>0.33333333333333298</v>
      </c>
      <c r="Q6" s="7">
        <v>30</v>
      </c>
      <c r="R6" s="2"/>
    </row>
    <row r="7" spans="1:18" x14ac:dyDescent="0.25">
      <c r="A7" s="6" t="s">
        <v>7</v>
      </c>
      <c r="C7" s="7">
        <v>8</v>
      </c>
      <c r="D7" s="7">
        <v>0</v>
      </c>
      <c r="E7" s="7">
        <v>80</v>
      </c>
      <c r="F7" s="7"/>
      <c r="G7" s="7">
        <v>8</v>
      </c>
      <c r="H7" s="7">
        <v>0.53333333333333299</v>
      </c>
      <c r="I7" s="7">
        <v>34.4</v>
      </c>
      <c r="J7" s="7"/>
      <c r="K7" s="7">
        <v>3</v>
      </c>
      <c r="L7" s="7">
        <v>0.15</v>
      </c>
      <c r="M7" s="7">
        <v>13.65</v>
      </c>
      <c r="N7" s="7"/>
      <c r="O7" s="7">
        <v>0</v>
      </c>
      <c r="P7" s="7">
        <v>0</v>
      </c>
      <c r="Q7" s="7">
        <v>0</v>
      </c>
      <c r="R7" s="2"/>
    </row>
    <row r="8" spans="1:18" x14ac:dyDescent="0.25">
      <c r="A8" s="6" t="s">
        <v>8</v>
      </c>
      <c r="C8" s="7">
        <v>2</v>
      </c>
      <c r="D8" s="7">
        <v>0.2</v>
      </c>
      <c r="E8" s="7">
        <v>20</v>
      </c>
      <c r="F8" s="7"/>
      <c r="G8" s="7">
        <v>6</v>
      </c>
      <c r="H8" s="7">
        <v>0.6</v>
      </c>
      <c r="I8" s="7">
        <v>25.2</v>
      </c>
      <c r="J8" s="7"/>
      <c r="K8" s="7">
        <v>0</v>
      </c>
      <c r="L8" s="7">
        <v>0</v>
      </c>
      <c r="M8" s="7">
        <v>0</v>
      </c>
      <c r="N8" s="7"/>
      <c r="O8" s="7">
        <v>10</v>
      </c>
      <c r="P8" s="7">
        <v>0.33333333333333298</v>
      </c>
      <c r="Q8" s="7">
        <v>30</v>
      </c>
      <c r="R8" s="2"/>
    </row>
    <row r="9" spans="1:18" x14ac:dyDescent="0.25">
      <c r="A9" s="6" t="s">
        <v>9</v>
      </c>
      <c r="C9" s="7">
        <v>10</v>
      </c>
      <c r="D9" s="7">
        <v>0</v>
      </c>
      <c r="E9" s="7">
        <v>100</v>
      </c>
      <c r="F9" s="7"/>
      <c r="G9" s="7">
        <v>6</v>
      </c>
      <c r="H9" s="7">
        <v>0.6</v>
      </c>
      <c r="I9" s="7">
        <v>24.299999999999901</v>
      </c>
      <c r="J9" s="7"/>
      <c r="K9" s="7">
        <v>1</v>
      </c>
      <c r="L9" s="7">
        <v>1.6666666666666601E-2</v>
      </c>
      <c r="M9" s="7">
        <v>4.75</v>
      </c>
      <c r="N9" s="7"/>
      <c r="O9" s="7">
        <v>0</v>
      </c>
      <c r="P9" s="7">
        <v>0</v>
      </c>
      <c r="Q9" s="7">
        <v>0</v>
      </c>
      <c r="R9" s="2"/>
    </row>
    <row r="10" spans="1:18" x14ac:dyDescent="0.25">
      <c r="A10" s="6" t="s">
        <v>10</v>
      </c>
      <c r="C10" s="7">
        <v>0</v>
      </c>
      <c r="D10" s="7">
        <v>0</v>
      </c>
      <c r="E10" s="7">
        <v>0</v>
      </c>
      <c r="F10" s="7"/>
      <c r="G10" s="7">
        <v>0</v>
      </c>
      <c r="H10" s="7">
        <v>0</v>
      </c>
      <c r="I10" s="7">
        <v>0</v>
      </c>
      <c r="J10" s="7"/>
      <c r="K10" s="7">
        <v>8</v>
      </c>
      <c r="L10" s="7">
        <v>0.53333333333333299</v>
      </c>
      <c r="M10" s="7">
        <v>36.799999999999997</v>
      </c>
      <c r="N10" s="7"/>
      <c r="O10" s="7">
        <v>8</v>
      </c>
      <c r="P10" s="7">
        <v>0.53333333333333299</v>
      </c>
      <c r="Q10" s="7">
        <v>80</v>
      </c>
      <c r="R10" s="2"/>
    </row>
    <row r="11" spans="1:18" x14ac:dyDescent="0.25">
      <c r="A11" s="6" t="s">
        <v>11</v>
      </c>
      <c r="C11" s="7">
        <v>10</v>
      </c>
      <c r="D11" s="7">
        <v>0</v>
      </c>
      <c r="E11" s="7">
        <v>100</v>
      </c>
      <c r="F11" s="7"/>
      <c r="G11" s="7">
        <v>9</v>
      </c>
      <c r="H11" s="7">
        <v>0.45</v>
      </c>
      <c r="I11" s="7">
        <v>35.549999999999997</v>
      </c>
      <c r="J11" s="7"/>
      <c r="K11" s="7">
        <v>4</v>
      </c>
      <c r="L11" s="7">
        <v>0.266666666666666</v>
      </c>
      <c r="M11" s="7">
        <v>18</v>
      </c>
      <c r="N11" s="7"/>
      <c r="O11" s="7">
        <v>0</v>
      </c>
      <c r="P11" s="7">
        <v>0</v>
      </c>
      <c r="Q11" s="7">
        <v>0</v>
      </c>
      <c r="R11" s="2"/>
    </row>
    <row r="12" spans="1:18" x14ac:dyDescent="0.25">
      <c r="A12" s="6" t="s">
        <v>12</v>
      </c>
      <c r="C12" s="7">
        <v>3</v>
      </c>
      <c r="D12" s="7">
        <v>0.3</v>
      </c>
      <c r="E12" s="7">
        <v>30</v>
      </c>
      <c r="F12" s="7"/>
      <c r="G12" s="7">
        <v>0</v>
      </c>
      <c r="H12" s="7">
        <v>0</v>
      </c>
      <c r="I12" s="7">
        <v>0</v>
      </c>
      <c r="J12" s="7"/>
      <c r="K12" s="7">
        <v>10</v>
      </c>
      <c r="L12" s="7">
        <v>0.33333333333333298</v>
      </c>
      <c r="M12" s="7">
        <v>43</v>
      </c>
      <c r="N12" s="7"/>
      <c r="O12" s="7">
        <v>10</v>
      </c>
      <c r="P12" s="7">
        <v>0.33333333333333298</v>
      </c>
      <c r="Q12" s="7">
        <v>30</v>
      </c>
      <c r="R12" s="2"/>
    </row>
    <row r="13" spans="1:18" x14ac:dyDescent="0.25"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2"/>
    </row>
    <row r="14" spans="1:18" x14ac:dyDescent="0.25">
      <c r="A14" s="8" t="s">
        <v>17</v>
      </c>
      <c r="C14" s="7"/>
      <c r="D14" s="11">
        <f>SUM(D3:D12)</f>
        <v>1.3</v>
      </c>
      <c r="E14" s="11">
        <f>SUM(E3:E12)</f>
        <v>550</v>
      </c>
      <c r="F14" s="7"/>
      <c r="G14" s="7"/>
      <c r="H14" s="11">
        <f>SUM(H3:H12)</f>
        <v>3.0166666666666653</v>
      </c>
      <c r="I14" s="11">
        <f>SUM(I3:I12)</f>
        <v>203.69999999999987</v>
      </c>
      <c r="J14" s="7"/>
      <c r="K14" s="7"/>
      <c r="L14" s="11">
        <f>SUM(L3:L12)</f>
        <v>1.8166666666666653</v>
      </c>
      <c r="M14" s="11">
        <f>SUM(M3:M12)</f>
        <v>167.8</v>
      </c>
      <c r="N14" s="7"/>
      <c r="O14" s="7"/>
      <c r="P14" s="11">
        <f>SUM(P3:P12)</f>
        <v>1.9999999999999987</v>
      </c>
      <c r="Q14" s="11">
        <f>SUM(Q3:Q12)</f>
        <v>202</v>
      </c>
      <c r="R14" s="2"/>
    </row>
    <row r="15" spans="1:18" s="1" customFormat="1" x14ac:dyDescent="0.25">
      <c r="A15" s="8" t="s">
        <v>18</v>
      </c>
      <c r="C15" s="9"/>
      <c r="D15" s="10">
        <f>AVERAGE(D3:D12)</f>
        <v>0.13</v>
      </c>
      <c r="E15" s="10">
        <f>AVERAGE(E3:E12)</f>
        <v>55</v>
      </c>
      <c r="F15" s="9"/>
      <c r="G15" s="9"/>
      <c r="H15" s="10">
        <f>AVERAGE(H3:H12)</f>
        <v>0.30166666666666653</v>
      </c>
      <c r="I15" s="10">
        <f>AVERAGE(I3:I12)</f>
        <v>20.369999999999987</v>
      </c>
      <c r="J15" s="9"/>
      <c r="K15" s="9"/>
      <c r="L15" s="10">
        <f>AVERAGE(L3:L12)</f>
        <v>0.18166666666666653</v>
      </c>
      <c r="M15" s="10">
        <f>AVERAGE(M3:M12)</f>
        <v>16.78</v>
      </c>
      <c r="N15" s="9"/>
      <c r="O15" s="9"/>
      <c r="P15" s="10">
        <f>AVERAGE(P3:P12)</f>
        <v>0.19999999999999987</v>
      </c>
      <c r="Q15" s="10">
        <f>AVERAGE(Q3:Q12)</f>
        <v>20.2</v>
      </c>
    </row>
    <row r="16" spans="1:18" s="1" customFormat="1" x14ac:dyDescent="0.25">
      <c r="A16" s="8" t="s">
        <v>20</v>
      </c>
      <c r="C16" s="9"/>
      <c r="D16" s="14">
        <f>MIN(D3:D12)</f>
        <v>0</v>
      </c>
      <c r="E16" s="14">
        <f t="shared" ref="E16:Q16" si="0">MIN(E3:E12)</f>
        <v>0</v>
      </c>
      <c r="F16" s="13"/>
      <c r="G16" s="13"/>
      <c r="H16" s="14">
        <f t="shared" si="0"/>
        <v>0</v>
      </c>
      <c r="I16" s="14">
        <f t="shared" si="0"/>
        <v>0</v>
      </c>
      <c r="J16" s="13"/>
      <c r="K16" s="13"/>
      <c r="L16" s="14">
        <f t="shared" si="0"/>
        <v>0</v>
      </c>
      <c r="M16" s="14">
        <f t="shared" si="0"/>
        <v>0</v>
      </c>
      <c r="N16" s="13"/>
      <c r="O16" s="13"/>
      <c r="P16" s="14">
        <f t="shared" si="0"/>
        <v>0</v>
      </c>
      <c r="Q16" s="14">
        <f t="shared" si="0"/>
        <v>0</v>
      </c>
    </row>
    <row r="17" spans="1:17" s="1" customFormat="1" x14ac:dyDescent="0.25">
      <c r="A17" s="8" t="s">
        <v>21</v>
      </c>
      <c r="C17" s="9"/>
      <c r="D17" s="15">
        <f>MAX(D3:D12)</f>
        <v>0.4</v>
      </c>
      <c r="E17" s="15">
        <f t="shared" ref="E17:Q17" si="1">MAX(E3:E12)</f>
        <v>100</v>
      </c>
      <c r="F17" s="13"/>
      <c r="G17" s="13"/>
      <c r="H17" s="15">
        <f t="shared" si="1"/>
        <v>0.6</v>
      </c>
      <c r="I17" s="15">
        <f t="shared" si="1"/>
        <v>45.5</v>
      </c>
      <c r="J17" s="13"/>
      <c r="K17" s="13"/>
      <c r="L17" s="15">
        <f t="shared" si="1"/>
        <v>0.53333333333333299</v>
      </c>
      <c r="M17" s="15">
        <f t="shared" si="1"/>
        <v>43</v>
      </c>
      <c r="N17" s="13"/>
      <c r="O17" s="13"/>
      <c r="P17" s="15">
        <f t="shared" si="1"/>
        <v>0.53333333333333299</v>
      </c>
      <c r="Q17" s="15">
        <f t="shared" si="1"/>
        <v>80</v>
      </c>
    </row>
    <row r="18" spans="1:17" s="1" customFormat="1" x14ac:dyDescent="0.25">
      <c r="A18" s="8" t="s">
        <v>19</v>
      </c>
      <c r="D18" s="12">
        <f>_xlfn.STDEV.S(D3:D12)</f>
        <v>0.1766981104093143</v>
      </c>
      <c r="E18" s="12">
        <f>_xlfn.STDEV.S(E3:E12)</f>
        <v>34.075080500434787</v>
      </c>
      <c r="F18" s="9"/>
      <c r="G18" s="9"/>
      <c r="H18" s="12">
        <f>_xlfn.STDEV.S(H3:H12)</f>
        <v>0.25524739874854985</v>
      </c>
      <c r="I18" s="12">
        <f>_xlfn.STDEV.S(I3:I12)</f>
        <v>15.992658037709399</v>
      </c>
      <c r="J18" s="9"/>
      <c r="K18" s="9"/>
      <c r="L18" s="12">
        <f>_xlfn.STDEV.S(L3:L12)</f>
        <v>0.2017592380126787</v>
      </c>
      <c r="M18" s="12">
        <f>_xlfn.STDEV.S(M3:M12)</f>
        <v>17.626435323746609</v>
      </c>
      <c r="N18" s="9"/>
      <c r="O18" s="9"/>
      <c r="P18" s="12">
        <f>_xlfn.STDEV.S(P3:P12)</f>
        <v>0.21616751620381899</v>
      </c>
      <c r="Q18" s="12">
        <f>_xlfn.STDEV.S(Q3:Q12)</f>
        <v>25.328069628598055</v>
      </c>
    </row>
  </sheetData>
  <mergeCells count="4">
    <mergeCell ref="C1:E1"/>
    <mergeCell ref="G1:I1"/>
    <mergeCell ref="K1:M1"/>
    <mergeCell ref="O1:Q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ΙΩΣΗΦ ΠΟΛΕΝΑΚΗΣ</cp:lastModifiedBy>
  <dcterms:created xsi:type="dcterms:W3CDTF">2015-06-05T18:19:34Z</dcterms:created>
  <dcterms:modified xsi:type="dcterms:W3CDTF">2026-04-07T07:08:36Z</dcterms:modified>
</cp:coreProperties>
</file>